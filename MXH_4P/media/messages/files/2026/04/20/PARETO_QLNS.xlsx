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160A24D4-1DDB-4D2C-86FA-E6139826CB0E}" xr6:coauthVersionLast="47" xr6:coauthVersionMax="47" xr10:uidLastSave="{00000000-0000-0000-0000-000000000000}"/>
  <bookViews>
    <workbookView xWindow="-108" yWindow="-108" windowWidth="23256" windowHeight="13896" xr2:uid="{014131C4-6242-4F99-BBA7-00DEDF0C08D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1" l="1"/>
  <c r="D8" i="1"/>
  <c r="F7" i="1"/>
  <c r="F6" i="1"/>
  <c r="F5" i="1"/>
  <c r="F4" i="1"/>
  <c r="F3" i="1"/>
  <c r="F2" i="1"/>
  <c r="E6" i="1"/>
  <c r="E5" i="1"/>
  <c r="E4" i="1"/>
  <c r="E3" i="1"/>
  <c r="E2" i="1"/>
  <c r="D2" i="1"/>
  <c r="D3" i="1"/>
  <c r="D4" i="1"/>
  <c r="D5" i="1"/>
  <c r="D6" i="1"/>
  <c r="D7" i="1"/>
  <c r="C8" i="1"/>
</calcChain>
</file>

<file path=xl/sharedStrings.xml><?xml version="1.0" encoding="utf-8"?>
<sst xmlns="http://schemas.openxmlformats.org/spreadsheetml/2006/main" count="20" uniqueCount="20">
  <si>
    <t>Khách quét mã nhưng tiền chưa vào tài khoản</t>
  </si>
  <si>
    <t>Giá trên hệ thống lệch với giá niêm yết trên sách</t>
  </si>
  <si>
    <t>Tổng số các dạng lỗi:</t>
  </si>
  <si>
    <t>Dạng lỗi</t>
  </si>
  <si>
    <t>Số lượng</t>
  </si>
  <si>
    <t>Sách bị lỗi vật lý( rách trang, bẩn bìa) khách không mua</t>
  </si>
  <si>
    <t>Khách cầm nhầm sách so với lựa chọn ban đầu</t>
  </si>
  <si>
    <t>Khách làm xáo trộn vị trí sách trên kệ (gây khó khăn khi tìm kiếm)</t>
  </si>
  <si>
    <t>Hệ thống quét mã QR báo lỗi "Giao dịch không thành công" do ngân hàng bảo trì</t>
  </si>
  <si>
    <t>Tổng số sản phẩm được kiểm tra(N):</t>
  </si>
  <si>
    <t>Mã hóa</t>
  </si>
  <si>
    <t>Số 1</t>
  </si>
  <si>
    <t>Số 2</t>
  </si>
  <si>
    <t>Số 3</t>
  </si>
  <si>
    <t>Số 4</t>
  </si>
  <si>
    <t>Số 5</t>
  </si>
  <si>
    <t>Số 6</t>
  </si>
  <si>
    <t>Tỷ lệ(%)</t>
  </si>
  <si>
    <t>Tích lũy (%)</t>
  </si>
  <si>
    <t>% Trên tổng số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</si>
</sst>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%"/>
  </numFmts>
  <fonts count="2" x14ac:knownFonts="1">
    <font>
      <sz val="11"/>
      <color theme="1"/>
      <name val="Calibri"/>
      <family val="2"/>
      <charset val="163"/>
      <scheme val="minor"/>
    </font>
    <font>
      <sz val="8"/>
      <name val="Calibri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0" xfId="0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left" vertic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172" fontId="0" fillId="0" borderId="0" xfId="0" applyNumberFormat="1" applyBorder="1" applyAlignment="1">
      <alignment horizontal="left"/>
    </xf>
    <xf numFmtId="172" fontId="0" fillId="2" borderId="0" xfId="0" applyNumberFormat="1" applyFill="1" applyBorder="1" applyAlignment="1">
      <alignment horizontal="left"/>
    </xf>
  </cellXfs>
  <cellStyles count="1">
    <cellStyle name="Normal" xfId="0" builtinId="0"/>
  </cellStyles>
  <dxfs count="9"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Biểu đồ Pareto lỗi quản lý nhà sách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Số lượng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Sheet1!$B$2:$B$7</c:f>
              <c:strCache>
                <c:ptCount val="6"/>
                <c:pt idx="0">
                  <c:v>Số 1</c:v>
                </c:pt>
                <c:pt idx="1">
                  <c:v>Số 2</c:v>
                </c:pt>
                <c:pt idx="2">
                  <c:v>Số 3</c:v>
                </c:pt>
                <c:pt idx="3">
                  <c:v>Số 4</c:v>
                </c:pt>
                <c:pt idx="4">
                  <c:v>Số 5</c:v>
                </c:pt>
                <c:pt idx="5">
                  <c:v>Số 6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0">
                  <c:v>45</c:v>
                </c:pt>
                <c:pt idx="1">
                  <c:v>30</c:v>
                </c:pt>
                <c:pt idx="2">
                  <c:v>25</c:v>
                </c:pt>
                <c:pt idx="3">
                  <c:v>20</c:v>
                </c:pt>
                <c:pt idx="4">
                  <c:v>15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9D-4490-8EA5-EB78E9FC40B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3695136"/>
        <c:axId val="203693216"/>
      </c:barChart>
      <c:lineChart>
        <c:grouping val="stacked"/>
        <c:varyColors val="0"/>
        <c:ser>
          <c:idx val="1"/>
          <c:order val="1"/>
          <c:tx>
            <c:strRef>
              <c:f>Sheet1!$E$1</c:f>
              <c:strCache>
                <c:ptCount val="1"/>
                <c:pt idx="0">
                  <c:v>Tích lũy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Sheet1!$B$2:$B$7</c:f>
              <c:strCache>
                <c:ptCount val="6"/>
                <c:pt idx="0">
                  <c:v>Số 1</c:v>
                </c:pt>
                <c:pt idx="1">
                  <c:v>Số 2</c:v>
                </c:pt>
                <c:pt idx="2">
                  <c:v>Số 3</c:v>
                </c:pt>
                <c:pt idx="3">
                  <c:v>Số 4</c:v>
                </c:pt>
                <c:pt idx="4">
                  <c:v>Số 5</c:v>
                </c:pt>
                <c:pt idx="5">
                  <c:v>Số 6</c:v>
                </c:pt>
              </c:strCache>
            </c:strRef>
          </c:cat>
          <c:val>
            <c:numRef>
              <c:f>Sheet1!$E$2:$E$7</c:f>
              <c:numCache>
                <c:formatCode>0.0%</c:formatCode>
                <c:ptCount val="6"/>
                <c:pt idx="0">
                  <c:v>0.31034482758620691</c:v>
                </c:pt>
                <c:pt idx="1">
                  <c:v>0.51724137931034486</c:v>
                </c:pt>
                <c:pt idx="2">
                  <c:v>0.68965517241379315</c:v>
                </c:pt>
                <c:pt idx="3">
                  <c:v>0.82758620689655182</c:v>
                </c:pt>
                <c:pt idx="4">
                  <c:v>0.93103448275862077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9D-4490-8EA5-EB78E9FC40B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3703776"/>
        <c:axId val="203703296"/>
      </c:lineChart>
      <c:catAx>
        <c:axId val="20369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93216"/>
        <c:crosses val="autoZero"/>
        <c:auto val="1"/>
        <c:lblAlgn val="ctr"/>
        <c:lblOffset val="100"/>
        <c:noMultiLvlLbl val="0"/>
      </c:catAx>
      <c:valAx>
        <c:axId val="20369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95136"/>
        <c:crosses val="autoZero"/>
        <c:crossBetween val="between"/>
      </c:valAx>
      <c:valAx>
        <c:axId val="203703296"/>
        <c:scaling>
          <c:orientation val="minMax"/>
          <c:max val="1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03776"/>
        <c:crosses val="max"/>
        <c:crossBetween val="between"/>
        <c:majorUnit val="0.2"/>
      </c:valAx>
      <c:catAx>
        <c:axId val="2037037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3703296"/>
        <c:auto val="1"/>
        <c:lblAlgn val="ctr"/>
        <c:lblOffset val="100"/>
        <c:noMultiLvlLbl val="0"/>
      </c:cat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155976</xdr:rowOff>
    </xdr:from>
    <xdr:to>
      <xdr:col>5</xdr:col>
      <xdr:colOff>293892</xdr:colOff>
      <xdr:row>32</xdr:row>
      <xdr:rowOff>176029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4BD999-346C-BABE-B3BA-E3A3A31C74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0.54276</cdr:x>
      <cdr:y>0.26483</cdr:y>
    </cdr:from>
    <cdr:to>
      <cdr:x>0.93391</cdr:x>
      <cdr:y>0.26914</cdr:y>
    </cdr:to>
    <cdr:cxnSp macro="">
      <cdr:nvCxnSpPr>
        <cdr:cNvPr id="7" name="Straight Connector 6">
          <a:extLst xmlns:a="http://schemas.openxmlformats.org/drawingml/2006/main">
            <a:ext uri="{FF2B5EF4-FFF2-40B4-BE49-F238E27FC236}">
              <a16:creationId xmlns:a16="http://schemas.microsoft.com/office/drawing/2014/main" id="{062DE2C9-B333-FFDA-340A-ED3C35CC5E07}"/>
            </a:ext>
          </a:extLst>
        </cdr:cNvPr>
        <cdr:cNvCxnSpPr/>
      </cdr:nvCxnSpPr>
      <cdr:spPr>
        <a:xfrm xmlns:a="http://schemas.openxmlformats.org/drawingml/2006/main" flipV="1">
          <a:off x="4388582" y="1007807"/>
          <a:ext cx="3162709" cy="16387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0.54441</cdr:x>
      <cdr:y>0.27099</cdr:y>
    </cdr:from>
    <cdr:to>
      <cdr:x>0.54478</cdr:x>
      <cdr:y>0.84832</cdr:y>
    </cdr:to>
    <cdr:cxnSp macro="">
      <cdr:nvCxnSpPr>
        <cdr:cNvPr id="9" name="Straight Connector 8">
          <a:extLst xmlns:a="http://schemas.openxmlformats.org/drawingml/2006/main">
            <a:ext uri="{FF2B5EF4-FFF2-40B4-BE49-F238E27FC236}">
              <a16:creationId xmlns:a16="http://schemas.microsoft.com/office/drawing/2014/main" id="{2A0FA065-23BE-BCEA-04F7-45E7F3FA9A06}"/>
            </a:ext>
          </a:extLst>
        </cdr:cNvPr>
        <cdr:cNvCxnSpPr/>
      </cdr:nvCxnSpPr>
      <cdr:spPr>
        <a:xfrm xmlns:a="http://schemas.openxmlformats.org/drawingml/2006/main">
          <a:off x="4402985" y="1032454"/>
          <a:ext cx="3061" cy="2199645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55F65F-6C55-49C9-A08E-C951D5EA7AE5}" name="Table2" displayName="Table2" ref="A1:F9" totalsRowShown="0" headerRowDxfId="8" dataDxfId="7" tableBorderDxfId="6">
  <autoFilter ref="A1:F9" xr:uid="{5155F65F-6C55-49C9-A08E-C951D5EA7AE5}"/>
  <sortState xmlns:xlrd2="http://schemas.microsoft.com/office/spreadsheetml/2017/richdata2" ref="A2:C9">
    <sortCondition descending="1" ref="C2:C9"/>
  </sortState>
  <tableColumns count="6">
    <tableColumn id="1" xr3:uid="{471C7F0F-C8EC-46D6-B628-33784BD273DB}" name="Dạng lỗi" dataDxfId="5"/>
    <tableColumn id="4" xr3:uid="{F2103075-C3B1-4C36-A5D8-32F4B84E1CAE}" name="Mã hóa" dataDxfId="3"/>
    <tableColumn id="2" xr3:uid="{56B78F8C-32B3-46F2-843D-3465CB31A7E5}" name="Số lượng" dataDxfId="4"/>
    <tableColumn id="6" xr3:uid="{25025E78-84A9-4932-B72D-0FC03C7FEBC8}" name="Tỷ lệ(%)" dataDxfId="2">
      <calculatedColumnFormula>C2/$C$8</calculatedColumnFormula>
    </tableColumn>
    <tableColumn id="7" xr3:uid="{4C559114-2E9B-4F06-8FBF-D489D9A4816E}" name="Tích lũy (%)" dataDxfId="1">
      <calculatedColumnFormula>D2</calculatedColumnFormula>
    </tableColumn>
    <tableColumn id="8" xr3:uid="{342F10BE-3B0A-4A74-9C60-16F67F07523B}" name="% Trên tổng số" dataDxfId="0">
      <calculatedColumnFormula>Table2[[#This Row],[Số lượng]]/C7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D77C1-6173-44B0-A293-D91325CB9549}">
  <dimension ref="A1:F9"/>
  <sheetViews>
    <sheetView tabSelected="1" topLeftCell="A7" zoomScale="73" zoomScaleNormal="100" workbookViewId="0">
      <selection activeCell="I24" sqref="I24"/>
    </sheetView>
  </sheetViews>
  <sheetFormatPr defaultRowHeight="14.4" x14ac:dyDescent="0.3"/>
  <cols>
    <col min="1" max="1" width="78.109375" customWidth="1"/>
    <col min="2" max="2" width="13.109375" customWidth="1"/>
    <col min="3" max="3" width="8.88671875" customWidth="1"/>
    <col min="4" max="4" width="16.21875" customWidth="1"/>
    <col min="5" max="5" width="15.44140625" customWidth="1"/>
    <col min="6" max="6" width="18.21875" customWidth="1"/>
  </cols>
  <sheetData>
    <row r="1" spans="1:6" ht="23.4" customHeight="1" x14ac:dyDescent="0.3">
      <c r="A1" s="1" t="s">
        <v>3</v>
      </c>
      <c r="B1" s="1" t="s">
        <v>10</v>
      </c>
      <c r="C1" s="1" t="s">
        <v>4</v>
      </c>
      <c r="D1" s="1" t="s">
        <v>17</v>
      </c>
      <c r="E1" s="1" t="s">
        <v>18</v>
      </c>
      <c r="F1" s="1" t="s">
        <v>19</v>
      </c>
    </row>
    <row r="2" spans="1:6" ht="22.8" customHeight="1" x14ac:dyDescent="0.3">
      <c r="A2" s="2" t="s">
        <v>0</v>
      </c>
      <c r="B2" s="2" t="s">
        <v>11</v>
      </c>
      <c r="C2" s="3">
        <v>45</v>
      </c>
      <c r="D2" s="8">
        <f t="shared" ref="D2:E9" si="0">C2/$C$8</f>
        <v>0.31034482758620691</v>
      </c>
      <c r="E2" s="8">
        <f t="shared" ref="E2:E9" si="1">D2</f>
        <v>0.31034482758620691</v>
      </c>
      <c r="F2" s="8">
        <f>Table2[[#This Row],[Số lượng]]/C9</f>
        <v>4.4999999999999998E-2</v>
      </c>
    </row>
    <row r="3" spans="1:6" ht="25.2" customHeight="1" x14ac:dyDescent="0.3">
      <c r="A3" s="2" t="s">
        <v>1</v>
      </c>
      <c r="B3" s="2" t="s">
        <v>12</v>
      </c>
      <c r="C3" s="3">
        <v>30</v>
      </c>
      <c r="D3" s="8">
        <f t="shared" si="0"/>
        <v>0.20689655172413793</v>
      </c>
      <c r="E3" s="8">
        <f>Table2[[#This Row],[Tỷ lệ(%)]]+E2</f>
        <v>0.51724137931034486</v>
      </c>
      <c r="F3" s="8">
        <f>Table2[[#This Row],[Số lượng]]/C9</f>
        <v>0.03</v>
      </c>
    </row>
    <row r="4" spans="1:6" ht="25.2" customHeight="1" x14ac:dyDescent="0.3">
      <c r="A4" s="2" t="s">
        <v>7</v>
      </c>
      <c r="B4" s="2" t="s">
        <v>13</v>
      </c>
      <c r="C4" s="3">
        <v>25</v>
      </c>
      <c r="D4" s="8">
        <f t="shared" si="0"/>
        <v>0.17241379310344829</v>
      </c>
      <c r="E4" s="8">
        <f>Table2[[#This Row],[Tỷ lệ(%)]]+E3</f>
        <v>0.68965517241379315</v>
      </c>
      <c r="F4" s="8">
        <f>Table2[[#This Row],[Số lượng]]/C9</f>
        <v>2.5000000000000001E-2</v>
      </c>
    </row>
    <row r="5" spans="1:6" ht="24.6" customHeight="1" x14ac:dyDescent="0.3">
      <c r="A5" s="2" t="s">
        <v>5</v>
      </c>
      <c r="B5" s="2" t="s">
        <v>14</v>
      </c>
      <c r="C5" s="3">
        <v>20</v>
      </c>
      <c r="D5" s="8">
        <f t="shared" si="0"/>
        <v>0.13793103448275862</v>
      </c>
      <c r="E5" s="8">
        <f>Table2[[#This Row],[Tỷ lệ(%)]]+E4</f>
        <v>0.82758620689655182</v>
      </c>
      <c r="F5" s="8">
        <f>Table2[[#This Row],[Số lượng]]/C9</f>
        <v>0.02</v>
      </c>
    </row>
    <row r="6" spans="1:6" ht="22.8" customHeight="1" x14ac:dyDescent="0.3">
      <c r="A6" s="2" t="s">
        <v>6</v>
      </c>
      <c r="B6" s="2" t="s">
        <v>15</v>
      </c>
      <c r="C6" s="3">
        <v>15</v>
      </c>
      <c r="D6" s="8">
        <f t="shared" si="0"/>
        <v>0.10344827586206896</v>
      </c>
      <c r="E6" s="8">
        <f>Table2[[#This Row],[Tỷ lệ(%)]]+E5</f>
        <v>0.93103448275862077</v>
      </c>
      <c r="F6" s="8">
        <f>Table2[[#This Row],[Số lượng]]/C9</f>
        <v>1.4999999999999999E-2</v>
      </c>
    </row>
    <row r="7" spans="1:6" ht="35.4" customHeight="1" x14ac:dyDescent="0.3">
      <c r="A7" s="2" t="s">
        <v>8</v>
      </c>
      <c r="B7" s="2" t="s">
        <v>16</v>
      </c>
      <c r="C7" s="3">
        <v>10</v>
      </c>
      <c r="D7" s="8">
        <f t="shared" si="0"/>
        <v>6.8965517241379309E-2</v>
      </c>
      <c r="E7" s="8">
        <f>Table2[[#This Row],[Tỷ lệ(%)]]+E6</f>
        <v>1</v>
      </c>
      <c r="F7" s="8">
        <f>Table2[[#This Row],[Số lượng]]/C9</f>
        <v>0.01</v>
      </c>
    </row>
    <row r="8" spans="1:6" x14ac:dyDescent="0.3">
      <c r="A8" s="4" t="s">
        <v>2</v>
      </c>
      <c r="B8" s="4"/>
      <c r="C8" s="5">
        <f>SUM(C2:C7)</f>
        <v>145</v>
      </c>
      <c r="D8" s="9">
        <f>SUM(D2:D7)</f>
        <v>1</v>
      </c>
      <c r="E8" s="6"/>
      <c r="F8" s="6"/>
    </row>
    <row r="9" spans="1:6" x14ac:dyDescent="0.3">
      <c r="A9" s="4" t="s">
        <v>9</v>
      </c>
      <c r="B9" s="4"/>
      <c r="C9" s="7">
        <v>1000</v>
      </c>
      <c r="D9" s="6"/>
      <c r="E9" s="6"/>
      <c r="F9" s="6"/>
    </row>
  </sheetData>
  <phoneticPr fontId="1" type="noConversion"/>
  <pageMargins left="0.7" right="0.7" top="0.75" bottom="0.75" header="0.3" footer="0.3"/>
  <ignoredErrors>
    <ignoredError sqref="F2" calculatedColumn="1"/>
  </ignoredErrors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21DEC-A2B6-4D03-8960-F228DC006B97}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 doan</dc:creator>
  <cp:lastModifiedBy>thu doan</cp:lastModifiedBy>
  <dcterms:created xsi:type="dcterms:W3CDTF">2026-04-20T03:38:45Z</dcterms:created>
  <dcterms:modified xsi:type="dcterms:W3CDTF">2026-04-20T05:13:43Z</dcterms:modified>
</cp:coreProperties>
</file>